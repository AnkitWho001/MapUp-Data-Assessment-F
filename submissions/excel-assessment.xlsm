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114c934434c209/Documents/GitHub/MapUp-Data-Assessment-F/"/>
    </mc:Choice>
  </mc:AlternateContent>
  <xr:revisionPtr revIDLastSave="1" documentId="13_ncr:1_{D91BD9CC-12CC-4F90-B53E-5A8E1DE5FA42}" xr6:coauthVersionLast="47" xr6:coauthVersionMax="47" xr10:uidLastSave="{5C54102C-2EC5-4C0F-87F4-2C262EFAE398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30" i="18" a="1"/>
  <c r="C30" i="18" s="1"/>
  <c r="D30" i="18" a="1"/>
  <c r="D30" i="18" s="1"/>
  <c r="E30" i="18" a="1"/>
  <c r="E30" i="18"/>
  <c r="F30" i="18" a="1"/>
  <c r="F30" i="18"/>
  <c r="C29" i="18" a="1"/>
  <c r="C29" i="18" s="1"/>
  <c r="D29" i="18" a="1"/>
  <c r="D29" i="18" s="1"/>
  <c r="E29" i="18" a="1"/>
  <c r="E29" i="18"/>
  <c r="F29" i="18" a="1"/>
  <c r="F29" i="18"/>
  <c r="C28" i="18" a="1"/>
  <c r="C28" i="18" s="1"/>
  <c r="D28" i="18" a="1"/>
  <c r="D28" i="18" s="1"/>
  <c r="E28" i="18" a="1"/>
  <c r="E28" i="18"/>
  <c r="F28" i="18" a="1"/>
  <c r="F28" i="18"/>
  <c r="B30" i="18" a="1"/>
  <c r="B30" i="18" s="1"/>
  <c r="B29" i="18" a="1"/>
  <c r="B29" i="18" s="1"/>
  <c r="B28" i="18" a="1"/>
  <c r="B28" i="18" s="1"/>
  <c r="F7" i="18" a="1"/>
  <c r="F7" i="18"/>
  <c r="F8" i="18" a="1"/>
  <c r="F8" i="18" s="1"/>
  <c r="F9" i="18" a="1"/>
  <c r="F9" i="18"/>
  <c r="F10" i="18" a="1"/>
  <c r="F10" i="18"/>
  <c r="F11" i="18" a="1"/>
  <c r="F11" i="18"/>
  <c r="F12" i="18" a="1"/>
  <c r="F12" i="18" s="1"/>
  <c r="F13" i="18" a="1"/>
  <c r="F13" i="18"/>
  <c r="F14" i="18" a="1"/>
  <c r="F14" i="18"/>
  <c r="F15" i="18" a="1"/>
  <c r="F15" i="18"/>
  <c r="F16" i="18" a="1"/>
  <c r="F16" i="18" s="1"/>
  <c r="F17" i="18" a="1"/>
  <c r="F17" i="18" s="1"/>
  <c r="F18" i="18" a="1"/>
  <c r="F18" i="18"/>
  <c r="F19" i="18" a="1"/>
  <c r="F19" i="18"/>
  <c r="F20" i="18" a="1"/>
  <c r="F20" i="18" s="1"/>
  <c r="F21" i="18" a="1"/>
  <c r="F21" i="18"/>
  <c r="F22" i="18" a="1"/>
  <c r="F22" i="18"/>
  <c r="F23" i="18" a="1"/>
  <c r="F23" i="18" s="1"/>
  <c r="F24" i="18" a="1"/>
  <c r="F24" i="18" s="1"/>
  <c r="F25" i="18" a="1"/>
  <c r="F25" i="18"/>
  <c r="F26" i="18" a="1"/>
  <c r="F26" i="18"/>
  <c r="F27" i="18" a="1"/>
  <c r="F27" i="18" s="1"/>
  <c r="F6" i="18" a="1"/>
  <c r="F6" i="18" s="1"/>
  <c r="E7" i="18" a="1"/>
  <c r="E7" i="18"/>
  <c r="E8" i="18" a="1"/>
  <c r="E8" i="18" s="1"/>
  <c r="E9" i="18" a="1"/>
  <c r="E9" i="18"/>
  <c r="E10" i="18" a="1"/>
  <c r="E10" i="18"/>
  <c r="E11" i="18" a="1"/>
  <c r="E11" i="18"/>
  <c r="E12" i="18" a="1"/>
  <c r="E12" i="18" s="1"/>
  <c r="E13" i="18" a="1"/>
  <c r="E13" i="18"/>
  <c r="E14" i="18" a="1"/>
  <c r="E14" i="18"/>
  <c r="E15" i="18" a="1"/>
  <c r="E15" i="18"/>
  <c r="E16" i="18" a="1"/>
  <c r="E16" i="18" s="1"/>
  <c r="E17" i="18" a="1"/>
  <c r="E17" i="18"/>
  <c r="E18" i="18" a="1"/>
  <c r="E18" i="18"/>
  <c r="E19" i="18" a="1"/>
  <c r="E19" i="18"/>
  <c r="E20" i="18" a="1"/>
  <c r="E20" i="18" s="1"/>
  <c r="E21" i="18" a="1"/>
  <c r="E21" i="18"/>
  <c r="E22" i="18" a="1"/>
  <c r="E22" i="18" s="1"/>
  <c r="E23" i="18" a="1"/>
  <c r="E23" i="18" s="1"/>
  <c r="E24" i="18" a="1"/>
  <c r="E24" i="18" s="1"/>
  <c r="E25" i="18" a="1"/>
  <c r="E25" i="18" s="1"/>
  <c r="E26" i="18" a="1"/>
  <c r="E26" i="18" s="1"/>
  <c r="E27" i="18" a="1"/>
  <c r="E27" i="18" s="1"/>
  <c r="E6" i="18" a="1"/>
  <c r="E6" i="18" s="1"/>
  <c r="D6" i="18" a="1"/>
  <c r="D7" i="18" s="1"/>
  <c r="C6" i="18" a="1"/>
  <c r="C7" i="18" s="1"/>
  <c r="B6" i="18" a="1"/>
  <c r="B6" i="18" s="1"/>
  <c r="C22" i="19" a="1"/>
  <c r="C22" i="19" s="1"/>
  <c r="D14" i="18" l="1"/>
  <c r="D21" i="18"/>
  <c r="D20" i="18"/>
  <c r="D19" i="18"/>
  <c r="D18" i="18"/>
  <c r="D10" i="18"/>
  <c r="D25" i="18"/>
  <c r="D17" i="18"/>
  <c r="D9" i="18"/>
  <c r="D27" i="18"/>
  <c r="D26" i="18"/>
  <c r="D24" i="18"/>
  <c r="D16" i="18"/>
  <c r="D8" i="18"/>
  <c r="D22" i="18"/>
  <c r="D6" i="18"/>
  <c r="D13" i="18"/>
  <c r="D12" i="18"/>
  <c r="D11" i="18"/>
  <c r="D23" i="18"/>
  <c r="D15" i="18"/>
  <c r="C22" i="18"/>
  <c r="C13" i="18"/>
  <c r="C27" i="18"/>
  <c r="C9" i="18"/>
  <c r="C14" i="18"/>
  <c r="C6" i="18"/>
  <c r="C21" i="18"/>
  <c r="C20" i="18"/>
  <c r="C12" i="18"/>
  <c r="C19" i="18"/>
  <c r="C11" i="18"/>
  <c r="C26" i="18"/>
  <c r="C18" i="18"/>
  <c r="C10" i="18"/>
  <c r="C25" i="18"/>
  <c r="C17" i="18"/>
  <c r="C24" i="18"/>
  <c r="C16" i="18"/>
  <c r="C8" i="18"/>
  <c r="C23" i="18"/>
  <c r="C15" i="18"/>
  <c r="B26" i="18"/>
  <c r="B21" i="18"/>
  <c r="B13" i="18"/>
  <c r="B7" i="18"/>
  <c r="B20" i="18"/>
  <c r="B12" i="18"/>
  <c r="B27" i="18"/>
  <c r="B19" i="18"/>
  <c r="B11" i="18"/>
  <c r="B18" i="18"/>
  <c r="B10" i="18"/>
  <c r="B25" i="18"/>
  <c r="B17" i="18"/>
  <c r="B9" i="18"/>
  <c r="B24" i="18"/>
  <c r="B16" i="18"/>
  <c r="B8" i="18"/>
  <c r="B23" i="18"/>
  <c r="B15" i="18"/>
  <c r="B22" i="18"/>
  <c r="B14" i="18"/>
</calcChain>
</file>

<file path=xl/sharedStrings.xml><?xml version="1.0" encoding="utf-8"?>
<sst xmlns="http://schemas.openxmlformats.org/spreadsheetml/2006/main" count="433" uniqueCount="184">
  <si>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</si>
  <si>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</si>
  <si>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</si>
  <si>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</si>
  <si>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</si>
  <si>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</si>
  <si>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</si>
  <si>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</si>
  <si>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</si>
  <si>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</si>
  <si>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</si>
  <si>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</si>
  <si>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</si>
  <si>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</si>
  <si>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</si>
  <si>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</si>
  <si>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</si>
  <si>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</si>
  <si>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</si>
  <si>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</si>
  <si>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</si>
  <si>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</si>
  <si>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</si>
  <si>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</si>
  <si>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</si>
  <si>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</si>
  <si>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</si>
  <si>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</si>
  <si>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</si>
  <si>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</si>
  <si>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</si>
  <si>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</si>
  <si>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</si>
  <si>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</si>
  <si>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</si>
  <si>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</si>
  <si>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</si>
  <si>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</si>
  <si>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</si>
  <si>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</si>
  <si>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</si>
  <si>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</si>
  <si>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</si>
  <si>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</si>
  <si>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</si>
  <si>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</si>
  <si>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</si>
  <si>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</si>
  <si>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</si>
  <si>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</si>
  <si>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</si>
  <si>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</si>
  <si>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</si>
  <si>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</si>
  <si>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</si>
  <si>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</si>
  <si>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</si>
  <si>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</si>
  <si>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</si>
  <si>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</si>
  <si>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</si>
  <si>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</si>
  <si>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</si>
  <si>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</si>
  <si>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</si>
  <si>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</si>
  <si>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</si>
  <si>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</si>
  <si>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</si>
  <si>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</si>
  <si>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</si>
  <si>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</si>
  <si>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</si>
  <si>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</si>
  <si>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</si>
  <si>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</si>
  <si>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</si>
  <si>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</si>
  <si>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</si>
  <si>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</si>
  <si>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</si>
  <si>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</si>
  <si>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</si>
  <si>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</si>
  <si>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</si>
  <si>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</si>
  <si>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</si>
  <si>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</si>
  <si>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</si>
  <si>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</si>
  <si>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</si>
  <si>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</si>
  <si>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</si>
  <si>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</si>
  <si>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</si>
  <si>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</si>
  <si>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</si>
  <si>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</si>
  <si>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</si>
  <si>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</si>
  <si>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</si>
  <si>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</si>
  <si>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</si>
  <si>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</si>
  <si>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</si>
  <si>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</si>
  <si>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</si>
  <si>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</si>
  <si>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</si>
  <si>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</si>
  <si>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</si>
  <si>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</si>
  <si>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</si>
  <si>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</si>
  <si>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</si>
  <si>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</si>
  <si>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</si>
  <si>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</si>
  <si>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</si>
  <si>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</si>
  <si>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</si>
  <si>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</si>
  <si>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</si>
  <si>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</si>
  <si>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</si>
  <si>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</si>
  <si>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</si>
  <si>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</si>
  <si>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</si>
  <si>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</si>
  <si>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</si>
  <si>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</si>
  <si>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</si>
  <si>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</si>
  <si>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</si>
  <si>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</si>
  <si>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</si>
  <si>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</si>
  <si>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</si>
  <si>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</si>
  <si>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</si>
  <si>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</si>
  <si>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</si>
  <si>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</si>
  <si>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</si>
  <si>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</si>
  <si>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</si>
  <si>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</si>
  <si>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</si>
  <si>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</si>
  <si>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</si>
  <si>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</si>
  <si>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</si>
  <si>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</si>
  <si>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</si>
  <si>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</si>
  <si>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</si>
  <si>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</si>
  <si>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</si>
  <si>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</si>
  <si>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</si>
  <si>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</si>
  <si>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</si>
  <si>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</si>
  <si>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</si>
  <si>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</si>
  <si>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</si>
  <si>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</si>
  <si>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</si>
  <si>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</si>
  <si>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</si>
  <si>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</si>
  <si>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</si>
  <si>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</si>
  <si>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</si>
  <si>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</si>
  <si>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</si>
  <si>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"=SUMIF(H1:H40, "&gt;20")"</t>
  </si>
  <si>
    <t>formula used is =SUM(IFERROR(C12:C21, 20))</t>
  </si>
  <si>
    <t>we need to find the sum so we use sum function and to replace #N/A value we take iferror function to substitute it's value with 20</t>
  </si>
  <si>
    <t>MS excel can automatically detect a pattern and fill it accordingly all we have to do is fill 2-3 cells and then press ctrl+e to autofill this is also called excel flash fill</t>
  </si>
  <si>
    <t>ctrl + e</t>
  </si>
  <si>
    <t>=INDEX($B$10:$J$18,MATCH(E23,$A$10:$A$18,0),MATCH(F23,$B$9:$J$9,0))</t>
  </si>
  <si>
    <t>SO WE WILL BE USING INDEX MATCH HERE AS WE KNOW WE HAVE A REFEREANCE TABLE WITH IDs PROVIDED TO US WE WOULD FIND THE NAME AND ID AND THEN WE WOULD SEARCH IT IN TABLE A AND WHERE IT MATCHES THE NUMBER IN THAT CELL WILL BE OUR OUTPUT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</si>
</sst>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hh:mm:ss;@"/>
    <numFmt numFmtId="165" formatCode="yyyy\-mm\-dd;@"/>
    <numFmt numFmtId="166" formatCode="dd/mm/yyyy"/>
    <numFmt numFmtId="170" formatCode="_(* #,##0_);_(* \(#,##0\);_(* &quot;-&quot;??_);_(@_)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  <xf numFmtId="43" fontId="18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3" fillId="0" borderId="0" xfId="0" applyNumberFormat="1" applyFont="1"/>
    <xf numFmtId="170" fontId="3" fillId="0" borderId="2" xfId="11" applyNumberFormat="1" applyFont="1" applyBorder="1"/>
    <xf numFmtId="170" fontId="3" fillId="0" borderId="6" xfId="11" applyNumberFormat="1" applyFont="1" applyBorder="1"/>
    <xf numFmtId="170" fontId="3" fillId="0" borderId="4" xfId="11" applyNumberFormat="1" applyFont="1" applyBorder="1"/>
    <xf numFmtId="170" fontId="3" fillId="0" borderId="7" xfId="11" applyNumberFormat="1" applyFont="1" applyBorder="1"/>
    <xf numFmtId="1" fontId="8" fillId="0" borderId="0" xfId="0" applyNumberFormat="1" applyFont="1"/>
    <xf numFmtId="1" fontId="3" fillId="0" borderId="6" xfId="0" applyNumberFormat="1" applyFont="1" applyBorder="1"/>
    <xf numFmtId="1" fontId="3" fillId="0" borderId="7" xfId="0" applyNumberFormat="1" applyFont="1" applyBorder="1"/>
    <xf numFmtId="0" fontId="8" fillId="0" borderId="0" xfId="0" quotePrefix="1" applyFont="1"/>
  </cellXfs>
  <cellStyles count="12">
    <cellStyle name="Comma" xfId="11" builtinId="3"/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I1" zoomScaleNormal="100" workbookViewId="0">
      <pane ySplit="1" topLeftCell="A2" activePane="bottomLeft" state="frozen"/>
      <selection pane="bottomLeft" activeCell="A6" sqref="A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45056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45057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45058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45059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45060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45061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45062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45063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45064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45065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45066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45067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45068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45069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45070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45071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45072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45073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45074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45075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45076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-1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45077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45078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45079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45080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45081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45082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45083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45084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45085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45086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45087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45088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45089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45090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45091</v>
      </c>
    </row>
  </sheetData>
  <conditionalFormatting sqref="A1:A1048576">
    <cfRule type="duplicateValues" dxfId="2" priority="10"/>
  </conditionalFormatting>
  <conditionalFormatting sqref="B1:B1048576">
    <cfRule type="duplicateValues" dxfId="1" priority="9"/>
  </conditionalFormatting>
  <conditionalFormatting sqref="J2:L11">
    <cfRule type="colorScale" priority="8">
      <colorScale>
        <cfvo type="num" val="-1"/>
        <cfvo type="num" val="0"/>
        <color rgb="FFFF0000"/>
        <color rgb="FF00B050"/>
      </colorScale>
    </cfRule>
  </conditionalFormatting>
  <conditionalFormatting sqref="J12:W12">
    <cfRule type="colorScale" priority="7">
      <colorScale>
        <cfvo type="num" val="0"/>
        <cfvo type="num" val="0"/>
        <color rgb="FF00B050"/>
        <color rgb="FF00B050"/>
      </colorScale>
    </cfRule>
  </conditionalFormatting>
  <conditionalFormatting sqref="J13:J40 K13:L25 K27:L40 M32:W32 M30:W30">
    <cfRule type="colorScale" priority="6">
      <colorScale>
        <cfvo type="num" val="-1"/>
        <cfvo type="num" val="-1"/>
        <color rgb="FFFF0000"/>
        <color rgb="FFFF0000"/>
      </colorScale>
    </cfRule>
  </conditionalFormatting>
  <conditionalFormatting sqref="K26:W26">
    <cfRule type="colorScale" priority="5">
      <colorScale>
        <cfvo type="num" val="0"/>
        <cfvo type="num" val="0"/>
        <color rgb="FF00B050"/>
        <color rgb="FF00B050"/>
      </colorScale>
    </cfRule>
  </conditionalFormatting>
  <conditionalFormatting sqref="G12:I12">
    <cfRule type="colorScale" priority="4">
      <colorScale>
        <cfvo type="num" val="0"/>
        <cfvo type="num" val="0"/>
        <color rgb="FF00B050"/>
        <color rgb="FF00B050"/>
      </colorScale>
    </cfRule>
  </conditionalFormatting>
  <conditionalFormatting sqref="G30:I30">
    <cfRule type="colorScale" priority="3">
      <colorScale>
        <cfvo type="num" val="-1"/>
        <cfvo type="num" val="-1"/>
        <color rgb="FFFF0000"/>
        <color rgb="FFFF0000"/>
      </colorScale>
    </cfRule>
  </conditionalFormatting>
  <conditionalFormatting sqref="G32:I32">
    <cfRule type="colorScale" priority="2">
      <colorScale>
        <cfvo type="num" val="-1"/>
        <cfvo type="num" val="-1"/>
        <color rgb="FFFF0000"/>
        <color rgb="FFFF0000"/>
      </colorScale>
    </cfRule>
  </conditionalFormatting>
  <conditionalFormatting sqref="G26:I26">
    <cfRule type="colorScale" priority="1">
      <colorScale>
        <cfvo type="num" val="0"/>
        <cfvo type="num" val="0"/>
        <color rgb="FF00B050"/>
        <color rgb="FF00B05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9" sqref="B2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M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13" s="41" customFormat="1" ht="21" x14ac:dyDescent="0.4">
      <c r="A1" s="42" t="s">
        <v>55</v>
      </c>
      <c r="B1" s="41" t="s">
        <v>164</v>
      </c>
    </row>
    <row r="2" spans="1:13" s="41" customFormat="1" ht="21" x14ac:dyDescent="0.4">
      <c r="B2" s="41" t="s">
        <v>161</v>
      </c>
    </row>
    <row r="3" spans="1:13" ht="14.4" x14ac:dyDescent="0.3">
      <c r="A3" s="1"/>
      <c r="B3" s="1"/>
      <c r="C3" s="1"/>
      <c r="D3" s="1"/>
      <c r="E3" s="1"/>
      <c r="F3" s="1"/>
      <c r="G3" s="1"/>
    </row>
    <row r="4" spans="1:13" ht="23.4" x14ac:dyDescent="0.45">
      <c r="A4" s="17" t="s">
        <v>162</v>
      </c>
      <c r="B4" s="1"/>
      <c r="C4" s="1"/>
      <c r="D4" s="1"/>
      <c r="E4" s="1"/>
      <c r="F4" s="1"/>
      <c r="G4" s="1"/>
    </row>
    <row r="5" spans="1:13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1"/>
      <c r="I5" s="1"/>
      <c r="J5" s="1"/>
      <c r="K5" s="1"/>
      <c r="L5" s="1"/>
      <c r="M5" s="1"/>
    </row>
    <row r="6" spans="1:13" ht="14.4" x14ac:dyDescent="0.3">
      <c r="A6" s="7" t="s">
        <v>40</v>
      </c>
      <c r="B6" s="11">
        <f t="array" ref="B6:B27">IFERROR(VLOOKUP(A6:A27, Dataset!A:W,8, FALSE), "")</f>
        <v>3.6</v>
      </c>
      <c r="C6" s="11">
        <f t="array" ref="C6:C27">IFERROR(VLOOKUP(A6:A27, Dataset!A:W,14, FALSE), "")</f>
        <v>7.6</v>
      </c>
      <c r="D6" s="11">
        <f t="array" ref="D6:D27">IFERROR(VLOOKUP(A6:A27, Dataset!A:W,18, FALSE), "")</f>
        <v>4.2</v>
      </c>
      <c r="E6" s="11">
        <f t="array" ref="E6">IFERROR(VLOOKUP(A6:A27, Dataset!A:W,20, FALSE), "")</f>
        <v>8.9</v>
      </c>
      <c r="F6" s="8">
        <f t="array" ref="F6">IFERROR(VLOOKUP(A6:A27, Dataset!A:W,22, FALSE), "")</f>
        <v>4.2</v>
      </c>
    </row>
    <row r="7" spans="1:13" ht="14.4" x14ac:dyDescent="0.3">
      <c r="A7" s="7" t="s">
        <v>4</v>
      </c>
      <c r="B7" s="11">
        <v>3.6</v>
      </c>
      <c r="C7" s="11">
        <v>7.6</v>
      </c>
      <c r="D7" s="11">
        <v>4.2</v>
      </c>
      <c r="E7" s="11">
        <f t="array" ref="E7">IFERROR(VLOOKUP(A7:A28, Dataset!A:W,20, FALSE), "")</f>
        <v>8.9</v>
      </c>
      <c r="F7" s="8">
        <f t="array" ref="F7">IFERROR(VLOOKUP(A7:A28, Dataset!A:W,22, FALSE), "")</f>
        <v>4.2</v>
      </c>
    </row>
    <row r="8" spans="1:13" ht="14.4" x14ac:dyDescent="0.3">
      <c r="A8" s="7" t="s">
        <v>7</v>
      </c>
      <c r="B8" s="11">
        <v>5.4</v>
      </c>
      <c r="C8" s="11">
        <v>11.1</v>
      </c>
      <c r="D8" s="11">
        <v>5.8</v>
      </c>
      <c r="E8" s="11">
        <f t="array" ref="E8">IFERROR(VLOOKUP(A8:A29, Dataset!A:W,20, FALSE), "")</f>
        <v>12.2</v>
      </c>
      <c r="F8" s="8">
        <f t="array" ref="F8">IFERROR(VLOOKUP(A8:A29, Dataset!A:W,22, FALSE), "")</f>
        <v>5.8</v>
      </c>
    </row>
    <row r="9" spans="1:13" ht="14.4" x14ac:dyDescent="0.3">
      <c r="A9" s="7" t="s">
        <v>8</v>
      </c>
      <c r="B9" s="11">
        <v>6.6</v>
      </c>
      <c r="C9" s="11">
        <v>13.3</v>
      </c>
      <c r="D9" s="11">
        <v>8.1</v>
      </c>
      <c r="E9" s="11">
        <f t="array" ref="E9">IFERROR(VLOOKUP(A9:A30, Dataset!A:W,20, FALSE), "")</f>
        <v>17</v>
      </c>
      <c r="F9" s="8">
        <f t="array" ref="F9">IFERROR(VLOOKUP(A9:A30, Dataset!A:W,22, FALSE), "")</f>
        <v>8.1</v>
      </c>
    </row>
    <row r="10" spans="1:13" ht="14.4" x14ac:dyDescent="0.3">
      <c r="A10" s="7" t="s">
        <v>11</v>
      </c>
      <c r="B10" s="11">
        <v>13.8</v>
      </c>
      <c r="C10" s="11">
        <v>28.3</v>
      </c>
      <c r="D10" s="11">
        <v>16.100000000000001</v>
      </c>
      <c r="E10" s="11">
        <f t="array" ref="E10">IFERROR(VLOOKUP(A10:A31, Dataset!A:W,20, FALSE), "")</f>
        <v>32.799999999999997</v>
      </c>
      <c r="F10" s="8">
        <f t="array" ref="F10">IFERROR(VLOOKUP(A10:A31, Dataset!A:W,22, FALSE), "")</f>
        <v>16.100000000000001</v>
      </c>
    </row>
    <row r="11" spans="1:13" ht="14.4" x14ac:dyDescent="0.3">
      <c r="A11" s="7" t="s">
        <v>12</v>
      </c>
      <c r="B11" s="11">
        <v>17.3</v>
      </c>
      <c r="C11" s="11">
        <v>35.200000000000003</v>
      </c>
      <c r="D11" s="11">
        <v>21.3</v>
      </c>
      <c r="E11" s="11">
        <f t="array" ref="E11">IFERROR(VLOOKUP(A11:A32, Dataset!A:W,20, FALSE), "")</f>
        <v>43</v>
      </c>
      <c r="F11" s="8">
        <f t="array" ref="F11">IFERROR(VLOOKUP(A11:A32, Dataset!A:W,22, FALSE), "")</f>
        <v>21.3</v>
      </c>
    </row>
    <row r="12" spans="1:13" ht="14.4" x14ac:dyDescent="0.3">
      <c r="A12" s="7" t="s">
        <v>14</v>
      </c>
      <c r="B12" s="11">
        <v>27.5</v>
      </c>
      <c r="C12" s="11">
        <v>55.6</v>
      </c>
      <c r="D12" s="11">
        <v>33.799999999999997</v>
      </c>
      <c r="E12" s="11">
        <f t="array" ref="E12">IFERROR(VLOOKUP(A12:A33, Dataset!A:W,20, FALSE), "")</f>
        <v>67.900000000000006</v>
      </c>
      <c r="F12" s="8">
        <f t="array" ref="F12">IFERROR(VLOOKUP(A12:A33, Dataset!A:W,22, FALSE), "")</f>
        <v>33.799999999999997</v>
      </c>
    </row>
    <row r="13" spans="1:13" ht="14.4" x14ac:dyDescent="0.3">
      <c r="A13" s="7" t="s">
        <v>15</v>
      </c>
      <c r="B13" s="11">
        <v>0</v>
      </c>
      <c r="C13" s="11">
        <v>0</v>
      </c>
      <c r="D13" s="11">
        <v>0</v>
      </c>
      <c r="E13" s="11">
        <f t="array" ref="E13">IFERROR(VLOOKUP(A13:A34, Dataset!A:W,20, FALSE), "")</f>
        <v>0</v>
      </c>
      <c r="F13" s="8">
        <f t="array" ref="F13">IFERROR(VLOOKUP(A13:A34, Dataset!A:W,22, FALSE), "")</f>
        <v>0</v>
      </c>
    </row>
    <row r="14" spans="1:13" ht="14.4" x14ac:dyDescent="0.3">
      <c r="A14" s="7" t="s">
        <v>16</v>
      </c>
      <c r="B14" s="11">
        <v>32.1</v>
      </c>
      <c r="C14" s="11">
        <v>61.5</v>
      </c>
      <c r="D14" s="11">
        <v>40.1</v>
      </c>
      <c r="E14" s="11">
        <f t="array" ref="E14">IFERROR(VLOOKUP(A14:A35, Dataset!A:W,20, FALSE), "")</f>
        <v>76.599999999999994</v>
      </c>
      <c r="F14" s="8">
        <f t="array" ref="F14">IFERROR(VLOOKUP(A14:A35, Dataset!A:W,22, FALSE), "")</f>
        <v>40.1</v>
      </c>
    </row>
    <row r="15" spans="1:13" ht="14.4" x14ac:dyDescent="0.3">
      <c r="A15" s="7" t="s">
        <v>18</v>
      </c>
      <c r="B15" s="11">
        <v>39.299999999999997</v>
      </c>
      <c r="C15" s="11">
        <v>79.599999999999994</v>
      </c>
      <c r="D15" s="11">
        <v>47.9</v>
      </c>
      <c r="E15" s="11">
        <f t="array" ref="E15">IFERROR(VLOOKUP(A15:A36, Dataset!A:W,20, FALSE), "")</f>
        <v>96.8</v>
      </c>
      <c r="F15" s="8">
        <f t="array" ref="F15">IFERROR(VLOOKUP(A15:A36, Dataset!A:W,22, FALSE), "")</f>
        <v>47.9</v>
      </c>
    </row>
    <row r="16" spans="1:13" ht="14.4" x14ac:dyDescent="0.3">
      <c r="A16" s="7" t="s">
        <v>20</v>
      </c>
      <c r="B16" s="11">
        <v>42.3</v>
      </c>
      <c r="C16" s="11">
        <v>85.4</v>
      </c>
      <c r="D16" s="11">
        <v>52.3</v>
      </c>
      <c r="E16" s="11">
        <f t="array" ref="E16">IFERROR(VLOOKUP(A16:A37, Dataset!A:W,20, FALSE), "")</f>
        <v>106.1</v>
      </c>
      <c r="F16" s="8">
        <f t="array" ref="F16">IFERROR(VLOOKUP(A16:A37, Dataset!A:W,22, FALSE), "")</f>
        <v>52.3</v>
      </c>
    </row>
    <row r="17" spans="1:6" ht="14.4" x14ac:dyDescent="0.3">
      <c r="A17" s="7" t="s">
        <v>22</v>
      </c>
      <c r="B17" s="11">
        <v>45.5</v>
      </c>
      <c r="C17" s="11">
        <v>92.1</v>
      </c>
      <c r="D17" s="11">
        <v>57</v>
      </c>
      <c r="E17" s="11">
        <f t="array" ref="E17">IFERROR(VLOOKUP(A17:A38, Dataset!A:W,20, FALSE), "")</f>
        <v>115.1</v>
      </c>
      <c r="F17" s="8">
        <f t="array" ref="F17">IFERROR(VLOOKUP(A17:A38, Dataset!A:W,22, FALSE), "")</f>
        <v>57</v>
      </c>
    </row>
    <row r="18" spans="1:6" ht="14.4" x14ac:dyDescent="0.3">
      <c r="A18" s="7" t="s">
        <v>23</v>
      </c>
      <c r="B18" s="11">
        <v>50.1</v>
      </c>
      <c r="C18" s="11">
        <v>101.3</v>
      </c>
      <c r="D18" s="11">
        <v>61.4</v>
      </c>
      <c r="E18" s="11">
        <f t="array" ref="E18">IFERROR(VLOOKUP(A18:A39, Dataset!A:W,20, FALSE), "")</f>
        <v>124.4</v>
      </c>
      <c r="F18" s="8">
        <f t="array" ref="F18">IFERROR(VLOOKUP(A18:A39, Dataset!A:W,22, FALSE), "")</f>
        <v>61.4</v>
      </c>
    </row>
    <row r="19" spans="1:6" ht="14.4" x14ac:dyDescent="0.3">
      <c r="A19" s="7" t="s">
        <v>24</v>
      </c>
      <c r="B19" s="11">
        <v>52.3</v>
      </c>
      <c r="C19" s="11">
        <v>106.1</v>
      </c>
      <c r="D19" s="11">
        <v>63.6</v>
      </c>
      <c r="E19" s="11">
        <f t="array" ref="E19">IFERROR(VLOOKUP(A19:A40, Dataset!A:W,20, FALSE), "")</f>
        <v>128.6</v>
      </c>
      <c r="F19" s="8">
        <f t="array" ref="F19">IFERROR(VLOOKUP(A19:A40, Dataset!A:W,22, FALSE), "")</f>
        <v>63.6</v>
      </c>
    </row>
    <row r="20" spans="1:6" ht="14.4" x14ac:dyDescent="0.3">
      <c r="A20" s="7" t="s">
        <v>28</v>
      </c>
      <c r="B20" s="11">
        <v>0</v>
      </c>
      <c r="C20" s="11">
        <v>0</v>
      </c>
      <c r="D20" s="11">
        <v>0</v>
      </c>
      <c r="E20" s="11">
        <f t="array" ref="E20">IFERROR(VLOOKUP(A20:A41, Dataset!A:W,20, FALSE), "")</f>
        <v>0</v>
      </c>
      <c r="F20" s="8">
        <f t="array" ref="F20">IFERROR(VLOOKUP(A20:A41, Dataset!A:W,22, FALSE), "")</f>
        <v>0</v>
      </c>
    </row>
    <row r="21" spans="1:6" ht="14.4" x14ac:dyDescent="0.3">
      <c r="A21" s="7" t="s">
        <v>57</v>
      </c>
      <c r="B21" s="11">
        <v>61.4</v>
      </c>
      <c r="C21" s="11">
        <v>124.4</v>
      </c>
      <c r="D21" s="11">
        <v>75</v>
      </c>
      <c r="E21" s="11">
        <f t="array" ref="E21">IFERROR(VLOOKUP(A21:A42, Dataset!A:W,20, FALSE), "")</f>
        <v>151.5</v>
      </c>
      <c r="F21" s="8">
        <f t="array" ref="F21">IFERROR(VLOOKUP(A21:A42, Dataset!A:W,22, FALSE), "")</f>
        <v>75</v>
      </c>
    </row>
    <row r="22" spans="1:6" ht="14.4" x14ac:dyDescent="0.3">
      <c r="A22" s="7" t="s">
        <v>58</v>
      </c>
      <c r="B22" s="11">
        <v>-1</v>
      </c>
      <c r="C22" s="11">
        <v>-1</v>
      </c>
      <c r="D22" s="11">
        <v>-1</v>
      </c>
      <c r="E22" s="11">
        <f t="array" ref="E22">IFERROR(VLOOKUP(A22:A43, Dataset!A:W,20, FALSE), "")</f>
        <v>-1</v>
      </c>
      <c r="F22" s="8">
        <f t="array" ref="F22">IFERROR(VLOOKUP(A22:A43, Dataset!A:W,22, FALSE), "")</f>
        <v>-1</v>
      </c>
    </row>
    <row r="23" spans="1:6" ht="14.4" x14ac:dyDescent="0.3">
      <c r="A23" s="7" t="s">
        <v>31</v>
      </c>
      <c r="B23" s="11">
        <v>65.900000000000006</v>
      </c>
      <c r="C23" s="11">
        <v>133.4</v>
      </c>
      <c r="D23" s="11">
        <v>79.400000000000006</v>
      </c>
      <c r="E23" s="11">
        <f t="array" ref="E23">IFERROR(VLOOKUP(A23:A44, Dataset!A:W,20, FALSE), "")</f>
        <v>160.9</v>
      </c>
      <c r="F23" s="8">
        <f t="array" ref="F23">IFERROR(VLOOKUP(A23:A44, Dataset!A:W,22, FALSE), "")</f>
        <v>79.400000000000006</v>
      </c>
    </row>
    <row r="24" spans="1:6" ht="14.4" x14ac:dyDescent="0.3">
      <c r="A24" s="7" t="s">
        <v>32</v>
      </c>
      <c r="B24" s="11">
        <v>-1</v>
      </c>
      <c r="C24" s="11">
        <v>-1</v>
      </c>
      <c r="D24" s="11">
        <v>-1</v>
      </c>
      <c r="E24" s="11">
        <f t="array" ref="E24">IFERROR(VLOOKUP(A24:A45, Dataset!A:W,20, FALSE), "")</f>
        <v>-1</v>
      </c>
      <c r="F24" s="8">
        <f t="array" ref="F24">IFERROR(VLOOKUP(A24:A45, Dataset!A:W,22, FALSE), "")</f>
        <v>-1</v>
      </c>
    </row>
    <row r="25" spans="1:6" ht="14.4" x14ac:dyDescent="0.3">
      <c r="A25" s="7" t="s">
        <v>34</v>
      </c>
      <c r="B25" s="11">
        <v>63.6</v>
      </c>
      <c r="C25" s="11">
        <v>128.6</v>
      </c>
      <c r="D25" s="11">
        <v>79.400000000000006</v>
      </c>
      <c r="E25" s="11">
        <f t="array" ref="E25">IFERROR(VLOOKUP(A25:A46, Dataset!A:W,20, FALSE), "")</f>
        <v>160.9</v>
      </c>
      <c r="F25" s="8">
        <f t="array" ref="F25">IFERROR(VLOOKUP(A25:A46, Dataset!A:W,22, FALSE), "")</f>
        <v>79.400000000000006</v>
      </c>
    </row>
    <row r="26" spans="1:6" ht="14.4" x14ac:dyDescent="0.3">
      <c r="A26" s="7" t="s">
        <v>37</v>
      </c>
      <c r="B26" s="11">
        <v>72.8</v>
      </c>
      <c r="C26" s="11">
        <v>146.80000000000001</v>
      </c>
      <c r="D26" s="11">
        <v>90.9</v>
      </c>
      <c r="E26" s="11">
        <f t="array" ref="E26">IFERROR(VLOOKUP(A26:A47, Dataset!A:W,20, FALSE), "")</f>
        <v>183.5</v>
      </c>
      <c r="F26" s="8">
        <f t="array" ref="F26">IFERROR(VLOOKUP(A26:A47, Dataset!A:W,22, FALSE), "")</f>
        <v>90.9</v>
      </c>
    </row>
    <row r="27" spans="1:6" ht="14.4" x14ac:dyDescent="0.3">
      <c r="A27" s="7" t="s">
        <v>39</v>
      </c>
      <c r="B27" s="11">
        <v>77.2</v>
      </c>
      <c r="C27" s="11">
        <v>156.4</v>
      </c>
      <c r="D27" s="11">
        <v>93.1</v>
      </c>
      <c r="E27" s="11">
        <f t="array" ref="E27">IFERROR(VLOOKUP(A27:A48, Dataset!A:W,20, FALSE), "")</f>
        <v>188.1</v>
      </c>
      <c r="F27" s="8">
        <f t="array" ref="F27">IFERROR(VLOOKUP(A27:A48, Dataset!A:W,22, FALSE), "")</f>
        <v>93.1</v>
      </c>
    </row>
    <row r="28" spans="1:6" ht="14.4" x14ac:dyDescent="0.3">
      <c r="A28" s="18" t="s">
        <v>82</v>
      </c>
      <c r="B28" s="31">
        <f t="array" ref="B28">MIN(B6:B27)</f>
        <v>-1</v>
      </c>
      <c r="C28" s="31">
        <f t="array" ref="C28">MIN(C6:C27)</f>
        <v>-1</v>
      </c>
      <c r="D28" s="31">
        <f t="array" ref="D28">MIN(D6:D27)</f>
        <v>-1</v>
      </c>
      <c r="E28" s="31">
        <f t="array" ref="E28">MIN(E6:E27)</f>
        <v>-1</v>
      </c>
      <c r="F28" s="31">
        <f t="array" ref="F28">MIN(F6:F27)</f>
        <v>-1</v>
      </c>
    </row>
    <row r="29" spans="1:6" ht="14.4" x14ac:dyDescent="0.3">
      <c r="A29" s="18" t="s">
        <v>83</v>
      </c>
      <c r="B29" s="31">
        <f t="array" ref="B29">MAX(B6:B27)</f>
        <v>77.2</v>
      </c>
      <c r="C29" s="31">
        <f t="array" ref="C29">MAX(C6:C27)</f>
        <v>156.4</v>
      </c>
      <c r="D29" s="31">
        <f t="array" ref="D29">MAX(D6:D27)</f>
        <v>93.1</v>
      </c>
      <c r="E29" s="31">
        <f t="array" ref="E29">MAX(E6:E27)</f>
        <v>188.1</v>
      </c>
      <c r="F29" s="31">
        <f t="array" ref="F29">MAX(F6:F27)</f>
        <v>93.1</v>
      </c>
    </row>
    <row r="30" spans="1:6" ht="14.4" x14ac:dyDescent="0.3">
      <c r="A30" s="18" t="s">
        <v>84</v>
      </c>
      <c r="B30" s="31">
        <f t="array" ref="B30">AVERAGE(B6:B27)</f>
        <v>30.831818181818186</v>
      </c>
      <c r="C30" s="31">
        <f t="array" ref="C30">AVERAGE(C6:C27)</f>
        <v>62.377272727272725</v>
      </c>
      <c r="D30" s="31">
        <f t="array" ref="D30">AVERAGE(D6:D27)</f>
        <v>37.800000000000004</v>
      </c>
      <c r="E30" s="31">
        <f t="array" ref="E30">AVERAGE(E6:E27)</f>
        <v>76.418181818181822</v>
      </c>
      <c r="F30" s="31">
        <f t="array" ref="F30">AVERAGE(F6:F27)</f>
        <v>37.800000000000004</v>
      </c>
    </row>
  </sheetData>
  <conditionalFormatting sqref="H5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4" zoomScaleNormal="100" workbookViewId="0">
      <selection activeCell="D8" sqref="D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181</v>
      </c>
    </row>
    <row r="6" spans="1:10" ht="18" x14ac:dyDescent="0.35">
      <c r="A6" s="43" t="s">
        <v>153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120</v>
      </c>
      <c r="B54" s="12">
        <v>21016</v>
      </c>
      <c r="C54" s="1" t="s">
        <v>5</v>
      </c>
      <c r="D54" s="11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H17" sqref="H1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7" t="s">
        <v>162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154</v>
      </c>
      <c r="C17" s="16">
        <v>150</v>
      </c>
    </row>
    <row r="18" spans="1:3" ht="14.4" x14ac:dyDescent="0.3">
      <c r="A18" s="32">
        <v>44933</v>
      </c>
      <c r="B18" s="16" t="s">
        <v>155</v>
      </c>
      <c r="C18" s="16">
        <v>80</v>
      </c>
    </row>
    <row r="19" spans="1:3" ht="14.4" x14ac:dyDescent="0.3">
      <c r="A19" s="32">
        <v>44934</v>
      </c>
      <c r="B19" s="16" t="s">
        <v>156</v>
      </c>
      <c r="C19" s="16" t="e">
        <v>#N/A</v>
      </c>
    </row>
    <row r="20" spans="1:3" ht="14.4" x14ac:dyDescent="0.3">
      <c r="A20" s="32">
        <v>44935</v>
      </c>
      <c r="B20" s="16" t="s">
        <v>157</v>
      </c>
      <c r="C20" s="16">
        <v>30</v>
      </c>
    </row>
    <row r="21" spans="1:3" ht="14.4" x14ac:dyDescent="0.3">
      <c r="A21" s="32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F7" sqref="F7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53" t="s">
        <v>182</v>
      </c>
    </row>
    <row r="5" spans="1:14" ht="18" x14ac:dyDescent="0.35">
      <c r="A5" s="43" t="s">
        <v>153</v>
      </c>
      <c r="B5" s="1"/>
      <c r="C5" s="2" t="s">
        <v>183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L10" s="50"/>
      <c r="M10" s="5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L11" s="50"/>
      <c r="M11" s="5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L12" s="50"/>
      <c r="M12" s="5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L13" s="50"/>
      <c r="M13" s="5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L14" s="50"/>
      <c r="M14" s="5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L15" s="50"/>
      <c r="M15" s="5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L16" s="50"/>
      <c r="M16" s="5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L17" s="50"/>
      <c r="M17" s="5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L18" s="50"/>
      <c r="M18" s="5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46">
        <v>10100</v>
      </c>
      <c r="B23" s="47">
        <v>10102</v>
      </c>
      <c r="C23" s="44">
        <f>INDEX($B$10:$J$18,MATCH(E23,$A$10:$A$18,0),MATCH(F23,$B$9:$J$9,0))</f>
        <v>95</v>
      </c>
      <c r="E23" s="2" t="s">
        <v>89</v>
      </c>
      <c r="F23" s="2" t="s">
        <v>90</v>
      </c>
    </row>
    <row r="24" spans="1:14" ht="14.4" x14ac:dyDescent="0.3">
      <c r="A24" s="46">
        <v>10100</v>
      </c>
      <c r="B24" s="47">
        <v>10104</v>
      </c>
      <c r="C24" s="44">
        <f t="shared" ref="C24:C35" si="0">INDEX($B$10:$J$18,MATCH(E24,$A$10:$A$18,0),MATCH(F24,$B$9:$J$9,0))</f>
        <v>-1</v>
      </c>
      <c r="E24" s="2" t="s">
        <v>89</v>
      </c>
      <c r="F24" s="2" t="s">
        <v>91</v>
      </c>
    </row>
    <row r="25" spans="1:14" ht="14.4" x14ac:dyDescent="0.3">
      <c r="A25" s="46">
        <v>10108</v>
      </c>
      <c r="B25" s="47">
        <v>10102</v>
      </c>
      <c r="C25" s="44">
        <f t="shared" si="0"/>
        <v>160</v>
      </c>
      <c r="E25" s="2" t="s">
        <v>93</v>
      </c>
      <c r="F25" s="2" t="s">
        <v>90</v>
      </c>
    </row>
    <row r="26" spans="1:14" ht="14.4" x14ac:dyDescent="0.3">
      <c r="A26" s="46">
        <v>10100</v>
      </c>
      <c r="B26" s="47">
        <v>10106</v>
      </c>
      <c r="C26" s="44">
        <f t="shared" si="0"/>
        <v>185</v>
      </c>
      <c r="E26" s="2" t="s">
        <v>89</v>
      </c>
      <c r="F26" s="2" t="s">
        <v>92</v>
      </c>
    </row>
    <row r="27" spans="1:14" ht="14.4" x14ac:dyDescent="0.3">
      <c r="A27" s="46">
        <v>10108</v>
      </c>
      <c r="B27" s="47">
        <v>10110</v>
      </c>
      <c r="C27" s="44">
        <f t="shared" si="0"/>
        <v>50</v>
      </c>
      <c r="E27" s="2" t="s">
        <v>93</v>
      </c>
      <c r="F27" s="2" t="s">
        <v>94</v>
      </c>
    </row>
    <row r="28" spans="1:14" ht="14.4" x14ac:dyDescent="0.3">
      <c r="A28" s="46">
        <v>10102</v>
      </c>
      <c r="B28" s="47">
        <v>10104</v>
      </c>
      <c r="C28" s="44">
        <f t="shared" si="0"/>
        <v>-1</v>
      </c>
      <c r="E28" s="2" t="s">
        <v>90</v>
      </c>
      <c r="F28" s="2" t="s">
        <v>91</v>
      </c>
    </row>
    <row r="29" spans="1:14" ht="14.4" x14ac:dyDescent="0.3">
      <c r="A29" s="46">
        <v>10106</v>
      </c>
      <c r="B29" s="47">
        <v>10108</v>
      </c>
      <c r="C29" s="44">
        <f t="shared" si="0"/>
        <v>70</v>
      </c>
      <c r="E29" s="2" t="s">
        <v>92</v>
      </c>
      <c r="F29" s="2" t="s">
        <v>93</v>
      </c>
    </row>
    <row r="30" spans="1:14" ht="14.4" x14ac:dyDescent="0.3">
      <c r="A30" s="46">
        <v>10102</v>
      </c>
      <c r="B30" s="47">
        <v>10106</v>
      </c>
      <c r="C30" s="44">
        <f t="shared" si="0"/>
        <v>90</v>
      </c>
      <c r="E30" s="2" t="s">
        <v>90</v>
      </c>
      <c r="F30" s="2" t="s">
        <v>92</v>
      </c>
    </row>
    <row r="31" spans="1:14" ht="14.4" x14ac:dyDescent="0.3">
      <c r="A31" s="46">
        <v>10110</v>
      </c>
      <c r="B31" s="47">
        <v>10114</v>
      </c>
      <c r="C31" s="44">
        <f t="shared" si="0"/>
        <v>180</v>
      </c>
      <c r="E31" s="2" t="s">
        <v>94</v>
      </c>
      <c r="F31" s="2" t="s">
        <v>96</v>
      </c>
    </row>
    <row r="32" spans="1:14" ht="14.4" x14ac:dyDescent="0.3">
      <c r="A32" s="46">
        <v>10104</v>
      </c>
      <c r="B32" s="47">
        <v>10106</v>
      </c>
      <c r="C32" s="44">
        <f t="shared" si="0"/>
        <v>60</v>
      </c>
      <c r="E32" s="2" t="s">
        <v>91</v>
      </c>
      <c r="F32" s="2" t="s">
        <v>92</v>
      </c>
    </row>
    <row r="33" spans="1:6" ht="14.4" x14ac:dyDescent="0.3">
      <c r="A33" s="46">
        <v>10110</v>
      </c>
      <c r="B33" s="47">
        <v>10112</v>
      </c>
      <c r="C33" s="44">
        <f t="shared" si="0"/>
        <v>115</v>
      </c>
      <c r="E33" s="2" t="s">
        <v>94</v>
      </c>
      <c r="F33" s="2" t="s">
        <v>95</v>
      </c>
    </row>
    <row r="34" spans="1:6" ht="14.4" x14ac:dyDescent="0.3">
      <c r="A34" s="46">
        <v>10100</v>
      </c>
      <c r="B34" s="47">
        <v>10114</v>
      </c>
      <c r="C34" s="44">
        <f t="shared" si="0"/>
        <v>480</v>
      </c>
      <c r="E34" s="2" t="s">
        <v>89</v>
      </c>
      <c r="F34" s="2" t="s">
        <v>96</v>
      </c>
    </row>
    <row r="35" spans="1:6" ht="14.4" x14ac:dyDescent="0.3">
      <c r="A35" s="48">
        <v>10112</v>
      </c>
      <c r="B35" s="49">
        <v>10116</v>
      </c>
      <c r="C35" s="44">
        <f t="shared" si="0"/>
        <v>105</v>
      </c>
      <c r="E35" s="2" t="s">
        <v>95</v>
      </c>
      <c r="F35" s="2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Ankit Singh</cp:lastModifiedBy>
  <dcterms:created xsi:type="dcterms:W3CDTF">2015-02-10T17:33:11Z</dcterms:created>
  <dcterms:modified xsi:type="dcterms:W3CDTF">2023-12-10T07:02:11Z</dcterms:modified>
</cp:coreProperties>
</file>